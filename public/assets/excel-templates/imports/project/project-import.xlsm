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Laravel-proc\rekachain-web\public\assets\excel-templates\imports\project\"/>
    </mc:Choice>
  </mc:AlternateContent>
  <xr:revisionPtr revIDLastSave="0" documentId="13_ncr:1_{D72B3732-516C-4728-8880-945A05102BE4}" xr6:coauthVersionLast="45" xr6:coauthVersionMax="45" xr10:uidLastSave="{00000000-0000-0000-0000-000000000000}"/>
  <bookViews>
    <workbookView xWindow="735" yWindow="735" windowWidth="21600" windowHeight="11835" activeTab="5" xr2:uid="{4913BE8E-1EAC-441F-9642-7860F64F0761}"/>
  </bookViews>
  <sheets>
    <sheet name="Proyek" sheetId="1" r:id="rId1"/>
    <sheet name="Gerbong" sheetId="4" r:id="rId2"/>
    <sheet name="Preset Trainset" sheetId="2" r:id="rId3"/>
    <sheet name="Trainset" sheetId="3" r:id="rId4"/>
    <sheet name="Panel" sheetId="5" r:id="rId5"/>
    <sheet name="Komponen" sheetId="6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1" i="4" l="1"/>
  <c r="A1" i="3" l="1"/>
  <c r="A1" i="2"/>
</calcChain>
</file>

<file path=xl/sharedStrings.xml><?xml version="1.0" encoding="utf-8"?>
<sst xmlns="http://schemas.openxmlformats.org/spreadsheetml/2006/main" count="127" uniqueCount="54">
  <si>
    <t>Nama Proyek</t>
  </si>
  <si>
    <t>Jumlah Trainset</t>
  </si>
  <si>
    <t>Deskripsi</t>
  </si>
  <si>
    <t>Tanggal Inisiasi</t>
  </si>
  <si>
    <t>Kereta Api Penumpang</t>
  </si>
  <si>
    <t>No.</t>
  </si>
  <si>
    <t>Nama</t>
  </si>
  <si>
    <t>Gerbong</t>
  </si>
  <si>
    <t>M</t>
  </si>
  <si>
    <t>P</t>
  </si>
  <si>
    <t>K1</t>
  </si>
  <si>
    <t>K3</t>
  </si>
  <si>
    <t>TSA</t>
  </si>
  <si>
    <t>TSB</t>
  </si>
  <si>
    <t>TSC</t>
  </si>
  <si>
    <t>TSD</t>
  </si>
  <si>
    <t>TSE</t>
  </si>
  <si>
    <t>Custom</t>
  </si>
  <si>
    <t>Preset</t>
  </si>
  <si>
    <t>Tanggal Mulai Pengerjaan</t>
  </si>
  <si>
    <t>Tanggal Selesai Pengerjaan</t>
  </si>
  <si>
    <t>TS1</t>
  </si>
  <si>
    <t>TS2</t>
  </si>
  <si>
    <t>TS3</t>
  </si>
  <si>
    <t>TS4</t>
  </si>
  <si>
    <t>TS5</t>
  </si>
  <si>
    <t>TS6</t>
  </si>
  <si>
    <t>TS7</t>
  </si>
  <si>
    <t>TS8</t>
  </si>
  <si>
    <t>TS9</t>
  </si>
  <si>
    <t>TS10</t>
  </si>
  <si>
    <t>TS11</t>
  </si>
  <si>
    <t>TS12</t>
  </si>
  <si>
    <t>Nama / Tipe</t>
  </si>
  <si>
    <t>Gerbong Kustom</t>
  </si>
  <si>
    <t>Gerbong Eksekutif</t>
  </si>
  <si>
    <t>Gerbong Ekonomi</t>
  </si>
  <si>
    <t>Gerbong Makan</t>
  </si>
  <si>
    <t>Gerbong Pembangkit</t>
  </si>
  <si>
    <t>C</t>
  </si>
  <si>
    <t>Tipe Gerbong</t>
  </si>
  <si>
    <t>Jumlah per Gerbong</t>
  </si>
  <si>
    <t>Panel AC</t>
  </si>
  <si>
    <t>Panel Air Conditioner</t>
  </si>
  <si>
    <t>Panel Distribusi</t>
  </si>
  <si>
    <t>Panel</t>
  </si>
  <si>
    <t>Jumlah per Panel</t>
  </si>
  <si>
    <t>Baseplate</t>
  </si>
  <si>
    <t>Dasar Plate Panel</t>
  </si>
  <si>
    <t>Kabel</t>
  </si>
  <si>
    <t>Kabel Panel</t>
  </si>
  <si>
    <t>612v</t>
  </si>
  <si>
    <t>(Ubah hanya pilihan preset dan Gerbong jika preset Custom)</t>
  </si>
  <si>
    <t>TGF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</si>
</sst>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5" tint="-0.249977111117893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8EA9DB"/>
        <bgColor indexed="64"/>
      </patternFill>
    </fill>
    <fill>
      <patternFill patternType="solid">
        <fgColor theme="4" tint="0.59999389629810485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5">
    <xf numFmtId="0" fontId="0" fillId="0" borderId="0" xfId="0"/>
    <xf numFmtId="0" fontId="0" fillId="0" borderId="0" xfId="0" applyNumberFormat="1"/>
    <xf numFmtId="0" fontId="0" fillId="2" borderId="1" xfId="0" applyFill="1" applyBorder="1" applyAlignment="1">
      <alignment horizontal="left" vertical="center" wrapText="1"/>
    </xf>
    <xf numFmtId="49" fontId="0" fillId="0" borderId="1" xfId="0" applyNumberFormat="1" applyBorder="1" applyAlignment="1">
      <alignment horizontal="center" vertical="center" wrapText="1"/>
    </xf>
    <xf numFmtId="14" fontId="0" fillId="0" borderId="1" xfId="0" applyNumberFormat="1" applyBorder="1" applyAlignment="1">
      <alignment horizontal="center" vertical="center" wrapText="1"/>
    </xf>
    <xf numFmtId="1" fontId="0" fillId="0" borderId="1" xfId="0" applyNumberFormat="1" applyBorder="1" applyAlignment="1">
      <alignment horizontal="center" vertical="center" wrapText="1"/>
    </xf>
    <xf numFmtId="0" fontId="0" fillId="2" borderId="0" xfId="0" applyFill="1"/>
    <xf numFmtId="0" fontId="0" fillId="0" borderId="0" xfId="0" applyBorder="1"/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0" fontId="0" fillId="4" borderId="0" xfId="0" applyFill="1" applyAlignment="1">
      <alignment horizontal="center" vertical="center"/>
    </xf>
    <xf numFmtId="1" fontId="0" fillId="0" borderId="0" xfId="0" applyNumberFormat="1"/>
    <xf numFmtId="0" fontId="0" fillId="4" borderId="0" xfId="0" applyFill="1"/>
    <xf numFmtId="0" fontId="0" fillId="3" borderId="5" xfId="0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1" fillId="0" borderId="0" xfId="1"/>
    <xf numFmtId="0" fontId="2" fillId="0" borderId="0" xfId="0" applyFont="1" applyFill="1"/>
    <xf numFmtId="0" fontId="0" fillId="3" borderId="2" xfId="0" applyFill="1" applyBorder="1" applyAlignment="1">
      <alignment horizontal="center" vertical="center"/>
    </xf>
    <xf numFmtId="0" fontId="0" fillId="3" borderId="7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3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3" borderId="5" xfId="0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5">
    <dxf>
      <fill>
        <patternFill patternType="solid">
          <fgColor indexed="64"/>
          <bgColor theme="4" tint="0.59999389629810485"/>
        </patternFill>
      </fill>
    </dxf>
    <dxf>
      <numFmt numFmtId="1" formatCode="0"/>
    </dxf>
    <dxf>
      <numFmt numFmtId="1" formatCode="0"/>
    </dxf>
    <dxf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4" tint="0.399975585192419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37AF503-3E4D-4564-81DF-6F5EE11ABB94}" name="InitGerbong" displayName="InitGerbong" ref="A2:B7" totalsRowShown="0" headerRowDxfId="4">
  <autoFilter ref="A2:B7" xr:uid="{BF0D3E89-92DC-4984-8951-4A7670178D9A}">
    <filterColumn colId="0" hiddenButton="1"/>
    <filterColumn colId="1" hiddenButton="1"/>
  </autoFilter>
  <tableColumns count="2">
    <tableColumn id="2" xr3:uid="{58DFCD40-CC79-4592-A367-642B916A9A13}" name="Nama / Tipe"/>
    <tableColumn id="1" xr3:uid="{34A5DBFF-0104-4CCC-BF04-C5E7A2FC2DB6}" name="Deskripsi"/>
  </tableColumns>
  <tableStyleInfo name="TableStyleLight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86F0352-235F-4310-957A-02EC10D8E499}" name="InitPanel" displayName="InitPanel" ref="A1:D7" headerRowDxfId="3">
  <autoFilter ref="A1:D7" xr:uid="{D4A402FF-9890-4747-AAC5-61B2BB3032A4}">
    <filterColumn colId="0" hiddenButton="1"/>
    <filterColumn colId="1" hiddenButton="1"/>
    <filterColumn colId="2" hiddenButton="1"/>
    <filterColumn colId="3" hiddenButton="1"/>
  </autoFilter>
  <tableColumns count="4">
    <tableColumn id="1" xr3:uid="{07A003E3-B76C-4216-89C3-52037186951B}" name="Nama" totalsRowLabel="Total"/>
    <tableColumn id="2" xr3:uid="{78A310D9-4463-4477-828E-18CC862876E5}" name="Deskripsi"/>
    <tableColumn id="3" xr3:uid="{2D9DCF4F-97CE-4815-A561-A9B8F3CBD062}" name="Tipe Gerbong"/>
    <tableColumn id="4" xr3:uid="{5D92661D-3C4C-4664-97BA-FFA38D1852BB}" name="Jumlah per Gerbong" totalsRowFunction="sum" dataDxfId="2" totalsRowDxfId="1"/>
  </tableColumns>
  <tableStyleInfo name="TableStyleLight1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9A604D9-985D-464A-BC53-F97FF0086FEE}" name="Table3" displayName="Table3" ref="A1:E9" totalsRowShown="0" headerRowDxfId="0">
  <autoFilter ref="A1:E9" xr:uid="{2C85E8A0-F032-420E-8C88-9B308DD6320E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26436A-AA18-47CF-8824-2DC0621295D0}" name="Nama"/>
    <tableColumn id="2" xr3:uid="{C362B4EA-45C3-4A1F-8E9B-F338EB7BF1CB}" name="Deskripsi"/>
    <tableColumn id="3" xr3:uid="{15E1960A-F764-462A-9943-FED1B9B06E0D}" name="Panel"/>
    <tableColumn id="4" xr3:uid="{EDBEE111-DACF-407D-8527-64DEBB0C5A44}" name="Tipe Gerbong"/>
    <tableColumn id="5" xr3:uid="{56A13DF1-1E08-4E0D-ADB4-97C1962F770D}" name="Jumlah per Panel"/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7C8442-A386-49FB-AC18-9B151C8FFE57}">
  <sheetPr codeName="ProjectSheet"/>
  <dimension ref="A1:D6"/>
  <sheetViews>
    <sheetView workbookViewId="0">
      <selection activeCell="B1" sqref="B1"/>
    </sheetView>
  </sheetViews>
  <sheetFormatPr defaultRowHeight="15" x14ac:dyDescent="0.25"/>
  <cols>
    <col min="1" max="1" width="16.42578125" customWidth="1"/>
    <col min="2" max="2" width="21.140625" bestFit="1" customWidth="1"/>
    <col min="3" max="3" width="15" bestFit="1" customWidth="1"/>
  </cols>
  <sheetData>
    <row r="1" spans="1:4" ht="30" customHeight="1" x14ac:dyDescent="0.25">
      <c r="A1" s="2" t="s">
        <v>0</v>
      </c>
      <c r="B1" s="3" t="s">
        <v>51</v>
      </c>
    </row>
    <row r="2" spans="1:4" ht="30" customHeight="1" x14ac:dyDescent="0.25">
      <c r="A2" s="2" t="s">
        <v>2</v>
      </c>
      <c r="B2" s="3" t="s">
        <v>4</v>
      </c>
    </row>
    <row r="3" spans="1:4" ht="30" customHeight="1" x14ac:dyDescent="0.25">
      <c r="A3" s="2" t="s">
        <v>3</v>
      </c>
      <c r="B3" s="4">
        <v>45524</v>
      </c>
    </row>
    <row r="4" spans="1:4" ht="30" customHeight="1" x14ac:dyDescent="0.25">
      <c r="A4" s="2" t="s">
        <v>19</v>
      </c>
      <c r="B4" s="4">
        <v>45536</v>
      </c>
      <c r="D4" s="16"/>
    </row>
    <row r="5" spans="1:4" ht="30" customHeight="1" x14ac:dyDescent="0.25">
      <c r="A5" s="2" t="s">
        <v>20</v>
      </c>
      <c r="B5" s="4">
        <v>45901</v>
      </c>
    </row>
    <row r="6" spans="1:4" ht="30" customHeight="1" x14ac:dyDescent="0.25">
      <c r="A6" s="2" t="s">
        <v>1</v>
      </c>
      <c r="B6" s="5">
        <v>12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4C8451-51E1-4705-9C1C-75ABCC6C62CD}">
  <sheetPr codeName="GerbongSheet"/>
  <dimension ref="A1:B7"/>
  <sheetViews>
    <sheetView workbookViewId="0">
      <selection activeCell="B4" sqref="B4:B5"/>
    </sheetView>
  </sheetViews>
  <sheetFormatPr defaultRowHeight="15" x14ac:dyDescent="0.25"/>
  <cols>
    <col min="1" max="1" width="13.85546875" customWidth="1"/>
    <col min="2" max="2" width="19.85546875" bestFit="1" customWidth="1"/>
  </cols>
  <sheetData>
    <row r="1" spans="1:2" x14ac:dyDescent="0.25">
      <c r="A1" s="1" t="str">
        <f>CONCATENATE("List Gerbong Proyek  ", Proyek!B1)</f>
        <v>List Gerbong Proyek  612v</v>
      </c>
    </row>
    <row r="2" spans="1:2" x14ac:dyDescent="0.25">
      <c r="A2" s="6" t="s">
        <v>33</v>
      </c>
      <c r="B2" s="6" t="s">
        <v>2</v>
      </c>
    </row>
    <row r="3" spans="1:2" x14ac:dyDescent="0.25">
      <c r="A3" t="s">
        <v>39</v>
      </c>
      <c r="B3" t="s">
        <v>34</v>
      </c>
    </row>
    <row r="4" spans="1:2" x14ac:dyDescent="0.25">
      <c r="A4" t="s">
        <v>10</v>
      </c>
      <c r="B4" t="s">
        <v>35</v>
      </c>
    </row>
    <row r="5" spans="1:2" x14ac:dyDescent="0.25">
      <c r="A5" t="s">
        <v>11</v>
      </c>
      <c r="B5" t="s">
        <v>36</v>
      </c>
    </row>
    <row r="6" spans="1:2" x14ac:dyDescent="0.25">
      <c r="A6" t="s">
        <v>8</v>
      </c>
      <c r="B6" t="s">
        <v>37</v>
      </c>
    </row>
    <row r="7" spans="1:2" x14ac:dyDescent="0.25">
      <c r="A7" t="s">
        <v>9</v>
      </c>
      <c r="B7" t="s">
        <v>38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C83D72-6F8C-4CDC-87A1-C4798576EE57}">
  <sheetPr codeName="PresetTrainsetSheet"/>
  <dimension ref="A1:G9"/>
  <sheetViews>
    <sheetView workbookViewId="0">
      <selection activeCell="F13" sqref="F13"/>
    </sheetView>
  </sheetViews>
  <sheetFormatPr defaultRowHeight="15" x14ac:dyDescent="0.25"/>
  <cols>
    <col min="1" max="1" width="10.7109375" customWidth="1"/>
  </cols>
  <sheetData>
    <row r="1" spans="1:7" x14ac:dyDescent="0.25">
      <c r="A1" s="1" t="str">
        <f>CONCATENATE("Preset Trainset Proyek  ", Proyek!B1)</f>
        <v>Preset Trainset Proyek  612v</v>
      </c>
      <c r="C1" s="7"/>
      <c r="D1" s="7"/>
      <c r="E1" s="7"/>
      <c r="F1" s="7"/>
      <c r="G1" s="7"/>
    </row>
    <row r="2" spans="1:7" x14ac:dyDescent="0.25">
      <c r="A2" s="18" t="s">
        <v>6</v>
      </c>
      <c r="B2" s="19" t="s">
        <v>7</v>
      </c>
      <c r="C2" s="20"/>
      <c r="D2" s="20"/>
      <c r="E2" s="20"/>
      <c r="F2" s="21"/>
    </row>
    <row r="3" spans="1:7" x14ac:dyDescent="0.25">
      <c r="A3" s="18"/>
      <c r="B3" s="15" t="s">
        <v>39</v>
      </c>
      <c r="C3" s="15" t="s">
        <v>10</v>
      </c>
      <c r="D3" s="15" t="s">
        <v>11</v>
      </c>
      <c r="E3" s="15" t="s">
        <v>8</v>
      </c>
      <c r="F3" s="15" t="s">
        <v>9</v>
      </c>
    </row>
    <row r="4" spans="1:7" x14ac:dyDescent="0.25">
      <c r="A4" s="9" t="s">
        <v>17</v>
      </c>
      <c r="B4" s="14">
        <v>0</v>
      </c>
      <c r="C4" s="14">
        <v>0</v>
      </c>
      <c r="D4" s="14">
        <v>0</v>
      </c>
      <c r="E4" s="14">
        <v>0</v>
      </c>
      <c r="F4" s="14">
        <v>0</v>
      </c>
    </row>
    <row r="5" spans="1:7" x14ac:dyDescent="0.25">
      <c r="A5" s="9" t="s">
        <v>12</v>
      </c>
      <c r="B5" s="14">
        <v>0</v>
      </c>
      <c r="C5" s="14">
        <v>9</v>
      </c>
      <c r="D5" s="14">
        <v>0</v>
      </c>
      <c r="E5" s="14">
        <v>1</v>
      </c>
      <c r="F5" s="14">
        <v>1</v>
      </c>
    </row>
    <row r="6" spans="1:7" x14ac:dyDescent="0.25">
      <c r="A6" s="9" t="s">
        <v>13</v>
      </c>
      <c r="B6" s="14">
        <v>0</v>
      </c>
      <c r="C6" s="14">
        <v>4</v>
      </c>
      <c r="D6" s="14">
        <v>5</v>
      </c>
      <c r="E6" s="14">
        <v>1</v>
      </c>
      <c r="F6" s="14">
        <v>1</v>
      </c>
    </row>
    <row r="7" spans="1:7" x14ac:dyDescent="0.25">
      <c r="A7" s="9" t="s">
        <v>14</v>
      </c>
      <c r="B7" s="14">
        <v>0</v>
      </c>
      <c r="C7" s="14">
        <v>0</v>
      </c>
      <c r="D7" s="14">
        <v>8</v>
      </c>
      <c r="E7" s="14">
        <v>1</v>
      </c>
      <c r="F7" s="14">
        <v>1</v>
      </c>
    </row>
    <row r="8" spans="1:7" x14ac:dyDescent="0.25">
      <c r="A8" s="9" t="s">
        <v>15</v>
      </c>
      <c r="B8" s="14">
        <v>0</v>
      </c>
      <c r="C8" s="14">
        <v>5</v>
      </c>
      <c r="D8" s="14">
        <v>0</v>
      </c>
      <c r="E8" s="14">
        <v>1</v>
      </c>
      <c r="F8" s="14">
        <v>2</v>
      </c>
    </row>
    <row r="9" spans="1:7" x14ac:dyDescent="0.25">
      <c r="A9" s="9" t="s">
        <v>16</v>
      </c>
      <c r="B9" s="14">
        <v>0</v>
      </c>
      <c r="C9" s="14">
        <v>3</v>
      </c>
      <c r="D9" s="14">
        <v>2</v>
      </c>
      <c r="E9" s="14">
        <v>0</v>
      </c>
      <c r="F9" s="14">
        <v>1</v>
      </c>
    </row>
  </sheetData>
  <mergeCells count="2">
    <mergeCell ref="A2:A3"/>
    <mergeCell ref="B2:F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13BF0E-2FF4-40AA-BB0E-1721A8C71424}">
  <sheetPr codeName="TrainsetSheet"/>
  <dimension ref="A1:H15"/>
  <sheetViews>
    <sheetView workbookViewId="0">
      <selection activeCell="A2" sqref="A2:A3"/>
    </sheetView>
  </sheetViews>
  <sheetFormatPr defaultRowHeight="15" x14ac:dyDescent="0.25"/>
  <sheetData>
    <row r="1" spans="1:8" x14ac:dyDescent="0.25">
      <c r="A1" s="1" t="str">
        <f>CONCATENATE("List Trainset Proyek  ", Proyek!B1)</f>
        <v>List Trainset Proyek  612v</v>
      </c>
      <c r="C1" t="s">
        <v>53</v>
      </c>
      <c r="D1" s="17" t="s">
        <v>52</v>
      </c>
    </row>
    <row r="2" spans="1:8" x14ac:dyDescent="0.25">
      <c r="A2" s="22" t="s">
        <v>5</v>
      </c>
      <c r="B2" s="22" t="s">
        <v>6</v>
      </c>
      <c r="C2" s="22" t="s">
        <v>18</v>
      </c>
      <c r="D2" s="24" t="s">
        <v>7</v>
      </c>
      <c r="E2" s="24"/>
      <c r="F2" s="24"/>
      <c r="G2" s="24"/>
      <c r="H2" s="24"/>
    </row>
    <row r="3" spans="1:8" x14ac:dyDescent="0.25">
      <c r="A3" s="23"/>
      <c r="B3" s="23"/>
      <c r="C3" s="23"/>
      <c r="D3" s="13" t="s">
        <v>39</v>
      </c>
      <c r="E3" s="13" t="s">
        <v>10</v>
      </c>
      <c r="F3" s="13" t="s">
        <v>11</v>
      </c>
      <c r="G3" s="13" t="s">
        <v>8</v>
      </c>
      <c r="H3" s="13" t="s">
        <v>9</v>
      </c>
    </row>
    <row r="4" spans="1:8" x14ac:dyDescent="0.25">
      <c r="A4" s="8">
        <v>1</v>
      </c>
      <c r="B4" s="8" t="s">
        <v>21</v>
      </c>
      <c r="C4" s="8" t="s">
        <v>14</v>
      </c>
      <c r="D4" s="8">
        <v>0</v>
      </c>
      <c r="E4" s="8">
        <v>0</v>
      </c>
      <c r="F4" s="8">
        <v>8</v>
      </c>
      <c r="G4" s="8">
        <v>1</v>
      </c>
      <c r="H4" s="8">
        <v>1</v>
      </c>
    </row>
    <row r="5" spans="1:8" x14ac:dyDescent="0.25">
      <c r="A5" s="8">
        <v>2</v>
      </c>
      <c r="B5" s="8" t="s">
        <v>22</v>
      </c>
      <c r="C5" s="8" t="s">
        <v>16</v>
      </c>
      <c r="D5" s="8">
        <v>0</v>
      </c>
      <c r="E5" s="8">
        <v>3</v>
      </c>
      <c r="F5" s="8">
        <v>2</v>
      </c>
      <c r="G5" s="8">
        <v>0</v>
      </c>
      <c r="H5" s="8">
        <v>1</v>
      </c>
    </row>
    <row r="6" spans="1:8" x14ac:dyDescent="0.25">
      <c r="A6" s="8">
        <v>3</v>
      </c>
      <c r="B6" s="8" t="s">
        <v>23</v>
      </c>
      <c r="C6" s="8" t="s">
        <v>14</v>
      </c>
      <c r="D6" s="8">
        <v>0</v>
      </c>
      <c r="E6" s="8">
        <v>0</v>
      </c>
      <c r="F6" s="8">
        <v>8</v>
      </c>
      <c r="G6" s="8">
        <v>1</v>
      </c>
      <c r="H6" s="8">
        <v>1</v>
      </c>
    </row>
    <row r="7" spans="1:8" x14ac:dyDescent="0.25">
      <c r="A7" s="8">
        <v>4</v>
      </c>
      <c r="B7" s="8" t="s">
        <v>24</v>
      </c>
      <c r="C7" s="8" t="s">
        <v>12</v>
      </c>
      <c r="D7" s="8">
        <v>0</v>
      </c>
      <c r="E7" s="8">
        <v>9</v>
      </c>
      <c r="F7" s="8">
        <v>0</v>
      </c>
      <c r="G7" s="8">
        <v>1</v>
      </c>
      <c r="H7" s="8">
        <v>1</v>
      </c>
    </row>
    <row r="8" spans="1:8" x14ac:dyDescent="0.25">
      <c r="A8" s="8">
        <v>5</v>
      </c>
      <c r="B8" s="8" t="s">
        <v>25</v>
      </c>
      <c r="C8" s="8" t="s">
        <v>15</v>
      </c>
      <c r="D8" s="8">
        <v>0</v>
      </c>
      <c r="E8" s="8">
        <v>5</v>
      </c>
      <c r="F8" s="8">
        <v>0</v>
      </c>
      <c r="G8" s="8">
        <v>1</v>
      </c>
      <c r="H8" s="8">
        <v>2</v>
      </c>
    </row>
    <row r="9" spans="1:8" x14ac:dyDescent="0.25">
      <c r="A9" s="8">
        <v>6</v>
      </c>
      <c r="B9" s="8" t="s">
        <v>26</v>
      </c>
      <c r="C9" s="8" t="s">
        <v>13</v>
      </c>
      <c r="D9" s="8">
        <v>0</v>
      </c>
      <c r="E9" s="8">
        <v>4</v>
      </c>
      <c r="F9" s="8">
        <v>5</v>
      </c>
      <c r="G9" s="8">
        <v>1</v>
      </c>
      <c r="H9" s="8">
        <v>1</v>
      </c>
    </row>
    <row r="10" spans="1:8" x14ac:dyDescent="0.25">
      <c r="A10" s="8">
        <v>7</v>
      </c>
      <c r="B10" s="8" t="s">
        <v>27</v>
      </c>
      <c r="C10" s="8" t="s">
        <v>17</v>
      </c>
      <c r="D10" s="8">
        <v>0</v>
      </c>
      <c r="E10" s="8">
        <v>0</v>
      </c>
      <c r="F10" s="8">
        <v>3</v>
      </c>
      <c r="G10" s="8">
        <v>0</v>
      </c>
      <c r="H10" s="8">
        <v>0</v>
      </c>
    </row>
    <row r="11" spans="1:8" x14ac:dyDescent="0.25">
      <c r="A11" s="8">
        <v>8</v>
      </c>
      <c r="B11" s="8" t="s">
        <v>28</v>
      </c>
      <c r="C11" s="8" t="s">
        <v>13</v>
      </c>
      <c r="D11" s="8">
        <v>0</v>
      </c>
      <c r="E11" s="8">
        <v>4</v>
      </c>
      <c r="F11" s="8">
        <v>5</v>
      </c>
      <c r="G11" s="8">
        <v>1</v>
      </c>
      <c r="H11" s="8">
        <v>1</v>
      </c>
    </row>
    <row r="12" spans="1:8" x14ac:dyDescent="0.25">
      <c r="A12" s="8">
        <v>9</v>
      </c>
      <c r="B12" s="8" t="s">
        <v>29</v>
      </c>
      <c r="C12" s="8" t="s">
        <v>12</v>
      </c>
      <c r="D12" s="8">
        <v>0</v>
      </c>
      <c r="E12" s="8">
        <v>9</v>
      </c>
      <c r="F12" s="8">
        <v>0</v>
      </c>
      <c r="G12" s="8">
        <v>1</v>
      </c>
      <c r="H12" s="8">
        <v>1</v>
      </c>
    </row>
    <row r="13" spans="1:8" x14ac:dyDescent="0.25">
      <c r="A13" s="8">
        <v>10</v>
      </c>
      <c r="B13" s="8" t="s">
        <v>30</v>
      </c>
      <c r="C13" s="8" t="s">
        <v>13</v>
      </c>
      <c r="D13" s="8">
        <v>0</v>
      </c>
      <c r="E13" s="8">
        <v>4</v>
      </c>
      <c r="F13" s="8">
        <v>5</v>
      </c>
      <c r="G13" s="8">
        <v>1</v>
      </c>
      <c r="H13" s="8">
        <v>1</v>
      </c>
    </row>
    <row r="14" spans="1:8" x14ac:dyDescent="0.25">
      <c r="A14" s="8">
        <v>11</v>
      </c>
      <c r="B14" s="8" t="s">
        <v>31</v>
      </c>
      <c r="C14" s="8" t="s">
        <v>17</v>
      </c>
      <c r="D14" s="8">
        <v>2</v>
      </c>
      <c r="E14" s="8">
        <v>2</v>
      </c>
      <c r="F14" s="8">
        <v>2</v>
      </c>
      <c r="G14" s="8">
        <v>0</v>
      </c>
      <c r="H14" s="8">
        <v>1</v>
      </c>
    </row>
    <row r="15" spans="1:8" x14ac:dyDescent="0.25">
      <c r="A15" s="8">
        <v>12</v>
      </c>
      <c r="B15" s="8" t="s">
        <v>32</v>
      </c>
      <c r="C15" s="8" t="s">
        <v>12</v>
      </c>
      <c r="D15" s="8">
        <v>0</v>
      </c>
      <c r="E15" s="8">
        <v>9</v>
      </c>
      <c r="F15" s="8">
        <v>0</v>
      </c>
      <c r="G15" s="8">
        <v>1</v>
      </c>
      <c r="H15" s="8">
        <v>1</v>
      </c>
    </row>
  </sheetData>
  <mergeCells count="4">
    <mergeCell ref="A2:A3"/>
    <mergeCell ref="B2:B3"/>
    <mergeCell ref="C2:C3"/>
    <mergeCell ref="D2:H2"/>
  </mergeCell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DE66928-3BFE-487F-8FD5-E6146BB3BA3F}">
          <x14:formula1>
            <xm:f>'Preset Trainset'!$A$4:$A$9</xm:f>
          </x14:formula1>
          <xm:sqref>C13 C14 C4 C5 C6 C7 C8 C9 C10 C11 C12 C15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AD581-2228-4EEA-BA5D-711E2AFFAE26}">
  <sheetPr codeName="PanelSheet"/>
  <dimension ref="A1:D7"/>
  <sheetViews>
    <sheetView workbookViewId="0">
      <selection activeCell="K15" sqref="K15"/>
    </sheetView>
  </sheetViews>
  <sheetFormatPr defaultRowHeight="15" x14ac:dyDescent="0.25"/>
  <cols>
    <col min="1" max="1" width="20.28515625" bestFit="1" customWidth="1"/>
    <col min="2" max="2" width="15" customWidth="1"/>
    <col min="3" max="3" width="20.85546875" customWidth="1"/>
    <col min="4" max="4" width="19.140625" bestFit="1" customWidth="1"/>
    <col min="5" max="5" width="9.42578125" bestFit="1" customWidth="1"/>
  </cols>
  <sheetData>
    <row r="1" spans="1:4" x14ac:dyDescent="0.25">
      <c r="A1" s="10" t="s">
        <v>6</v>
      </c>
      <c r="B1" s="10" t="s">
        <v>2</v>
      </c>
      <c r="C1" s="10" t="s">
        <v>40</v>
      </c>
      <c r="D1" s="10" t="s">
        <v>41</v>
      </c>
    </row>
    <row r="2" spans="1:4" x14ac:dyDescent="0.25">
      <c r="A2" t="s">
        <v>42</v>
      </c>
      <c r="B2" t="s">
        <v>43</v>
      </c>
      <c r="C2" t="s">
        <v>10</v>
      </c>
      <c r="D2" s="11">
        <v>1</v>
      </c>
    </row>
    <row r="3" spans="1:4" x14ac:dyDescent="0.25">
      <c r="A3" t="s">
        <v>44</v>
      </c>
      <c r="B3" t="s">
        <v>44</v>
      </c>
      <c r="C3" t="s">
        <v>10</v>
      </c>
      <c r="D3" s="11">
        <v>1</v>
      </c>
    </row>
    <row r="4" spans="1:4" x14ac:dyDescent="0.25">
      <c r="A4" t="s">
        <v>42</v>
      </c>
      <c r="B4" t="s">
        <v>43</v>
      </c>
      <c r="C4" t="s">
        <v>11</v>
      </c>
      <c r="D4" s="11">
        <v>1</v>
      </c>
    </row>
    <row r="5" spans="1:4" x14ac:dyDescent="0.25">
      <c r="A5" t="s">
        <v>44</v>
      </c>
      <c r="B5" t="s">
        <v>44</v>
      </c>
      <c r="C5" t="s">
        <v>11</v>
      </c>
      <c r="D5" s="11">
        <v>1</v>
      </c>
    </row>
    <row r="6" spans="1:4" x14ac:dyDescent="0.25">
      <c r="A6" t="s">
        <v>42</v>
      </c>
      <c r="B6" t="s">
        <v>43</v>
      </c>
      <c r="C6" t="s">
        <v>8</v>
      </c>
      <c r="D6" s="11">
        <v>1</v>
      </c>
    </row>
    <row r="7" spans="1:4" x14ac:dyDescent="0.25">
      <c r="A7" t="s">
        <v>44</v>
      </c>
      <c r="B7" t="s">
        <v>44</v>
      </c>
      <c r="C7" t="s">
        <v>9</v>
      </c>
      <c r="D7" s="11">
        <v>1</v>
      </c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26C0742-B247-4A1F-8A28-19E5165FAEF7}">
          <x14:formula1>
            <xm:f>Gerbong!$A$3:$A$7</xm:f>
          </x14:formula1>
          <xm:sqref>C2:C7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829F7B-258E-4F91-A38E-2CD61C7D77A1}">
  <sheetPr codeName="KomponenSheet"/>
  <dimension ref="A1:E9"/>
  <sheetViews>
    <sheetView tabSelected="1" zoomScaleNormal="100" workbookViewId="0">
      <selection activeCell="M11" sqref="M11"/>
    </sheetView>
  </sheetViews>
  <sheetFormatPr defaultRowHeight="15" x14ac:dyDescent="0.25"/>
  <cols>
    <col min="1" max="1" width="9.7109375" bestFit="1" customWidth="1"/>
    <col min="2" max="2" width="16.42578125" bestFit="1" customWidth="1"/>
    <col min="3" max="3" width="21" customWidth="1"/>
    <col min="4" max="4" width="15" customWidth="1"/>
    <col min="5" max="5" width="18.28515625" customWidth="1"/>
  </cols>
  <sheetData>
    <row r="1" spans="1:5" x14ac:dyDescent="0.25">
      <c r="A1" s="12" t="s">
        <v>6</v>
      </c>
      <c r="B1" s="12" t="s">
        <v>2</v>
      </c>
      <c r="C1" s="12" t="s">
        <v>45</v>
      </c>
      <c r="D1" s="12" t="s">
        <v>40</v>
      </c>
      <c r="E1" s="12" t="s">
        <v>46</v>
      </c>
    </row>
    <row r="2" spans="1:5" x14ac:dyDescent="0.25">
      <c r="A2" t="s">
        <v>47</v>
      </c>
      <c r="B2" t="s">
        <v>48</v>
      </c>
      <c r="C2" t="s">
        <v>42</v>
      </c>
      <c r="D2" t="s">
        <v>10</v>
      </c>
      <c r="E2">
        <v>1</v>
      </c>
    </row>
    <row r="3" spans="1:5" x14ac:dyDescent="0.25">
      <c r="A3" t="s">
        <v>49</v>
      </c>
      <c r="B3" t="s">
        <v>50</v>
      </c>
      <c r="C3" t="s">
        <v>42</v>
      </c>
      <c r="D3" t="s">
        <v>10</v>
      </c>
      <c r="E3">
        <v>1</v>
      </c>
    </row>
    <row r="4" spans="1:5" x14ac:dyDescent="0.25">
      <c r="A4" t="s">
        <v>47</v>
      </c>
      <c r="B4" t="s">
        <v>48</v>
      </c>
      <c r="C4" t="s">
        <v>44</v>
      </c>
      <c r="D4" t="s">
        <v>11</v>
      </c>
      <c r="E4">
        <v>1</v>
      </c>
    </row>
    <row r="5" spans="1:5" x14ac:dyDescent="0.25">
      <c r="A5" t="s">
        <v>49</v>
      </c>
      <c r="B5" t="s">
        <v>50</v>
      </c>
      <c r="C5" t="s">
        <v>44</v>
      </c>
      <c r="D5" t="s">
        <v>11</v>
      </c>
      <c r="E5">
        <v>1</v>
      </c>
    </row>
    <row r="6" spans="1:5" x14ac:dyDescent="0.25">
      <c r="A6" t="s">
        <v>47</v>
      </c>
      <c r="B6" t="s">
        <v>48</v>
      </c>
      <c r="C6" t="s">
        <v>42</v>
      </c>
      <c r="D6" t="s">
        <v>8</v>
      </c>
      <c r="E6">
        <v>1</v>
      </c>
    </row>
    <row r="7" spans="1:5" x14ac:dyDescent="0.25">
      <c r="A7" t="s">
        <v>49</v>
      </c>
      <c r="B7" t="s">
        <v>50</v>
      </c>
      <c r="C7" t="s">
        <v>42</v>
      </c>
      <c r="D7" t="s">
        <v>8</v>
      </c>
      <c r="E7">
        <v>1</v>
      </c>
    </row>
    <row r="8" spans="1:5" x14ac:dyDescent="0.25">
      <c r="A8" t="s">
        <v>47</v>
      </c>
      <c r="B8" t="s">
        <v>48</v>
      </c>
      <c r="C8" t="s">
        <v>44</v>
      </c>
      <c r="D8" t="s">
        <v>9</v>
      </c>
      <c r="E8">
        <v>1</v>
      </c>
    </row>
    <row r="9" spans="1:5" x14ac:dyDescent="0.25">
      <c r="A9" t="s">
        <v>49</v>
      </c>
      <c r="B9" t="s">
        <v>50</v>
      </c>
      <c r="C9" t="s">
        <v>44</v>
      </c>
      <c r="D9" t="s">
        <v>9</v>
      </c>
      <c r="E9">
        <v>1</v>
      </c>
    </row>
  </sheetData>
  <dataValidations count="1">
    <dataValidation type="list" allowBlank="1" showInputMessage="1" showErrorMessage="1" sqref="C2 C3 C4 C5 C6 C7 C8 C9" xr:uid="{596E7580-7A6A-4216-94FB-A95FB2FE5860}">
      <formula1>"Panel AC,Panel Distribusi"</formula1>
    </dataValidation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7F20D6E-FB84-4142-97D5-31ED91BE8060}">
          <x14:formula1>
            <xm:f>Gerbong!$A$3:$A$7</xm:f>
          </x14:formula1>
          <xm:sqref>D2:D9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Proyek</vt:lpstr>
      <vt:lpstr>Gerbong</vt:lpstr>
      <vt:lpstr>Preset Trainset</vt:lpstr>
      <vt:lpstr>Trainset</vt:lpstr>
      <vt:lpstr>Panel</vt:lpstr>
      <vt:lpstr>Komponen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2024-10-25T01:22:08Z</dcterms:created>
  <dcterms:modified xsi:type="dcterms:W3CDTF">2024-11-01T08:00:55Z</dcterms:modified>
</cp:coreProperties>
</file>